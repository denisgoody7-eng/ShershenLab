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xr:revisionPtr revIDLastSave="1" documentId="11_35D38FC6458367A7EBC831A6D9384197454D4F3F" xr6:coauthVersionLast="47" xr6:coauthVersionMax="47" xr10:uidLastSave="{32684FB6-C73A-4AE3-B99B-0EA5C1A68936}"/>
  <bookViews>
    <workbookView xWindow="0" yWindow="0" windowWidth="16384" windowHeight="8192" tabRatio="500" firstSheet="4" activeTab="4" xr2:uid="{00000000-000D-0000-FFFF-FFFF00000000}"/>
  </bookViews>
  <sheets>
    <sheet name="виробництво зерна" sheetId="1" r:id="rId1"/>
    <sheet name="заг.числ болг" sheetId="2" r:id="rId2"/>
    <sheet name="Частка доходів 1" sheetId="3" r:id="rId3"/>
    <sheet name="частка доходів 2" sheetId="4" r:id="rId4"/>
    <sheet name="відношення обсягу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N2" i="5" l="1"/>
  <c r="M2" i="5"/>
  <c r="L2" i="5"/>
  <c r="N2" i="4"/>
  <c r="M2" i="4"/>
  <c r="N2" i="3"/>
  <c r="M2" i="3"/>
  <c r="L2" i="3"/>
  <c r="N2" i="2"/>
  <c r="M2" i="2"/>
  <c r="L2" i="2"/>
  <c r="N2" i="1"/>
  <c r="M2" i="1"/>
  <c r="L2" i="1"/>
</calcChain>
</file>

<file path=xl/sharedStrings.xml><?xml version="1.0" encoding="utf-8"?>
<sst xmlns="http://schemas.openxmlformats.org/spreadsheetml/2006/main" count="73" uniqueCount="47">
  <si>
    <t>Роки</t>
  </si>
  <si>
    <t>Min</t>
  </si>
  <si>
    <t>Max</t>
  </si>
  <si>
    <t>Avg</t>
  </si>
  <si>
    <t>Виробництво зерна на одну особу на рік, тонн</t>
  </si>
  <si>
    <t>XLкрит</t>
  </si>
  <si>
    <t>XLнебезп</t>
  </si>
  <si>
    <t>XLнездв</t>
  </si>
  <si>
    <t>XLздв</t>
  </si>
  <si>
    <t>XLопт</t>
  </si>
  <si>
    <t>XRопт</t>
  </si>
  <si>
    <t>XRздв</t>
  </si>
  <si>
    <t>XRнездв</t>
  </si>
  <si>
    <t>XRнебезп</t>
  </si>
  <si>
    <t>XRкрит</t>
  </si>
  <si>
    <t>0,6</t>
  </si>
  <si>
    <t>0,7</t>
  </si>
  <si>
    <t>0,8</t>
  </si>
  <si>
    <t>0,9</t>
  </si>
  <si>
    <t>Виробництво зерна на одну особу на рік, тонн у Болгарії знаходиться на оптимальному рівні</t>
  </si>
  <si>
    <t>Загальна чисельність населення богларії в млн.осіб</t>
  </si>
  <si>
    <t>Крит.: [&lt;6)</t>
  </si>
  <si>
    <t>Небезп.: [6; 6,5),</t>
  </si>
  <si>
    <t>Незад.: [6,5; 7)</t>
  </si>
  <si>
    <t xml:space="preserve"> Зад.: [7; 7.5),</t>
  </si>
  <si>
    <t>Опт. &gt; 7.5 млн</t>
  </si>
  <si>
    <t>Загальна чисельність населення богларії в млн.осіб у Болгарії знаходиться на Незадовільному рівні</t>
  </si>
  <si>
    <t>Дивлячись на графік а ні лінію тренду, можна сказати що в найближчі часи загальна чисельність населення може опинитися на критичному рівні</t>
  </si>
  <si>
    <t>Частка доходів, яку отримує 10 % найменш забезпеченого населення (Income share held by lowest 10 %)</t>
  </si>
  <si>
    <t>Крит.: [0.00; 0.80),</t>
  </si>
  <si>
    <t>Небезп.: [0.80; 1.20),</t>
  </si>
  <si>
    <t>Незад.: [1.20; 1.60)</t>
  </si>
  <si>
    <t xml:space="preserve"> Зад.: [1.60; 2.50),</t>
  </si>
  <si>
    <t xml:space="preserve">Опт.: [2.50; 100] ) </t>
  </si>
  <si>
    <t>Частка доходів, яку отримує 10 % найменш забезпеченого населення у Болгарії знаходиться на задовільному рівні</t>
  </si>
  <si>
    <t>Частка доходів, яку отримує 10 % найбільш забезпеченого населення (Income share held by highest 10 %</t>
  </si>
  <si>
    <t xml:space="preserve">Абс. Критичний &lt; 20.0 % </t>
  </si>
  <si>
    <t>Крит.: [20.0; 25,0)</t>
  </si>
  <si>
    <t>Небезп.: [25.0; 28.0)</t>
  </si>
  <si>
    <t>Незад.: [28; 30.5),</t>
  </si>
  <si>
    <t xml:space="preserve"> Зад.: [30.5; 32,5),</t>
  </si>
  <si>
    <t xml:space="preserve">Опт.: [&gt; 32.5 % ) </t>
  </si>
  <si>
    <t>30,5</t>
  </si>
  <si>
    <t>Загальна частка доходів, яку отримує 10 % найбільш забезпеченого населення богларії в млн.осіб у Болгарії знаходиться на Задовільному рівні</t>
  </si>
  <si>
    <t>Дивлячись на графік і лінію тренду, можна прогнозувати що чисельність буде тільки збільшуватись</t>
  </si>
  <si>
    <t>Відношення обсягу державного та гарантованого державою боргу до ВВП, %</t>
  </si>
  <si>
    <t>Відношення обсягу державного та гарантованого державою боргу до ВВП, % у Болгарії знаходиться на оптимальному рівні.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</si>
</sst>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'виробництво зерна'!$A$2</c:f>
              <c:strCache>
                <c:ptCount val="1"/>
                <c:pt idx="0">
                  <c:v>Виробництво зерна на одну особу на рік, тонн</c:v>
                </c:pt>
              </c:strCache>
            </c:strRef>
          </c:tx>
          <c:spPr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0-DCD4-4C00-A2EB-386801BFC415}"/>
              </c:ext>
            </c:extLst>
          </c:dPt>
          <c:dLbls>
            <c:dLbl>
              <c:idx val="9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0-DCD4-4C00-A2EB-386801BFC4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dispRSqr val="0"/>
            <c:dispEq val="0"/>
          </c:trendline>
          <c:xVal>
            <c:numRef>
              <c:f>'виробництво зерна'!$B$1:$K$1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xVal>
          <c:yVal>
            <c:numRef>
              <c:f>'виробництво зерна'!$B$2:$K$2</c:f>
              <c:numCache>
                <c:formatCode>General</c:formatCode>
                <c:ptCount val="10"/>
                <c:pt idx="0">
                  <c:v>1.23</c:v>
                </c:pt>
                <c:pt idx="1">
                  <c:v>1.24</c:v>
                </c:pt>
                <c:pt idx="2">
                  <c:v>1.28</c:v>
                </c:pt>
                <c:pt idx="3">
                  <c:v>1.38</c:v>
                </c:pt>
                <c:pt idx="4">
                  <c:v>1.6</c:v>
                </c:pt>
                <c:pt idx="5">
                  <c:v>1.23</c:v>
                </c:pt>
                <c:pt idx="6">
                  <c:v>1.38</c:v>
                </c:pt>
                <c:pt idx="7">
                  <c:v>1.44</c:v>
                </c:pt>
                <c:pt idx="8">
                  <c:v>1.76</c:v>
                </c:pt>
                <c:pt idx="9">
                  <c:v>1.44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CD4-4C00-A2EB-386801BFC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09991"/>
        <c:axId val="23164170"/>
      </c:scatterChart>
      <c:valAx>
        <c:axId val="880099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23164170"/>
        <c:crosses val="autoZero"/>
        <c:crossBetween val="between"/>
      </c:valAx>
      <c:valAx>
        <c:axId val="2316417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8800999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en-US"/>
        </a:p>
      </c:txPr>
    </c:legend>
    <c:plotVisOnly val="1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'заг.числ болг'!$A$2</c:f>
              <c:strCache>
                <c:ptCount val="1"/>
                <c:pt idx="0">
                  <c:v>Загальна чисельність населення богларії в млн.осіб</c:v>
                </c:pt>
              </c:strCache>
            </c:strRef>
          </c:tx>
          <c:spPr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dispRSqr val="0"/>
            <c:dispEq val="0"/>
          </c:trendline>
          <c:xVal>
            <c:numRef>
              <c:f>'заг.числ болг'!$B$1:$K$1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xVal>
          <c:yVal>
            <c:numRef>
              <c:f>'заг.числ болг'!$B$2:$K$2</c:f>
              <c:numCache>
                <c:formatCode>General</c:formatCode>
                <c:ptCount val="10"/>
                <c:pt idx="0">
                  <c:v>7.2229999999999999</c:v>
                </c:pt>
                <c:pt idx="1">
                  <c:v>7.1769999999999996</c:v>
                </c:pt>
                <c:pt idx="2">
                  <c:v>7.1280000000000001</c:v>
                </c:pt>
                <c:pt idx="3">
                  <c:v>7.0759999999999996</c:v>
                </c:pt>
                <c:pt idx="4">
                  <c:v>7.024</c:v>
                </c:pt>
                <c:pt idx="5">
                  <c:v>6.976</c:v>
                </c:pt>
                <c:pt idx="6">
                  <c:v>6.9219999999999997</c:v>
                </c:pt>
                <c:pt idx="7">
                  <c:v>6.875</c:v>
                </c:pt>
                <c:pt idx="8">
                  <c:v>6.8120000000000003</c:v>
                </c:pt>
                <c:pt idx="9">
                  <c:v>6.4459999999999997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2D-4082-B752-7DAC127CA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929468"/>
        <c:axId val="94502225"/>
      </c:scatterChart>
      <c:valAx>
        <c:axId val="879294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94502225"/>
        <c:crosses val="autoZero"/>
        <c:crossBetween val="between"/>
      </c:valAx>
      <c:valAx>
        <c:axId val="945022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8792946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en-US"/>
        </a:p>
      </c:txPr>
    </c:legend>
    <c:plotVisOnly val="1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'Частка доходів 1'!$A$2</c:f>
              <c:strCache>
                <c:ptCount val="1"/>
                <c:pt idx="0">
                  <c:v>Частка доходів, яку отримує 10 % найменш забезпеченого населення (Income share held by lowest 10 %)</c:v>
                </c:pt>
              </c:strCache>
            </c:strRef>
          </c:tx>
          <c:spPr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dispRSqr val="0"/>
            <c:dispEq val="0"/>
          </c:trendline>
          <c:xVal>
            <c:numRef>
              <c:f>'Частка доходів 1'!$B$1:$K$1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xVal>
          <c:yVal>
            <c:numRef>
              <c:f>'Частка доходів 1'!$B$2:$K$2</c:f>
              <c:numCache>
                <c:formatCode>General</c:formatCode>
                <c:ptCount val="10"/>
                <c:pt idx="0">
                  <c:v>1.8</c:v>
                </c:pt>
                <c:pt idx="1">
                  <c:v>2</c:v>
                </c:pt>
                <c:pt idx="2">
                  <c:v>1.5</c:v>
                </c:pt>
                <c:pt idx="3">
                  <c:v>1.6</c:v>
                </c:pt>
                <c:pt idx="4">
                  <c:v>1.9</c:v>
                </c:pt>
                <c:pt idx="5">
                  <c:v>1.9</c:v>
                </c:pt>
                <c:pt idx="6">
                  <c:v>1.9</c:v>
                </c:pt>
                <c:pt idx="7">
                  <c:v>2.2000000000000002</c:v>
                </c:pt>
                <c:pt idx="8">
                  <c:v>2</c:v>
                </c:pt>
                <c:pt idx="9">
                  <c:v>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83B-4236-98D2-96ECB6BA9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39046"/>
        <c:axId val="81043953"/>
      </c:scatterChart>
      <c:valAx>
        <c:axId val="1053904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81043953"/>
        <c:crosses val="autoZero"/>
        <c:crossBetween val="between"/>
      </c:valAx>
      <c:valAx>
        <c:axId val="8104395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1053904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en-US"/>
        </a:p>
      </c:txPr>
    </c:legend>
    <c:plotVisOnly val="1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'частка доходів 2'!$A$2</c:f>
              <c:strCache>
                <c:ptCount val="1"/>
                <c:pt idx="0">
                  <c:v>Частка доходів, яку отримує 10 % найбільш забезпеченого населення (Income share held by highest 10 %</c:v>
                </c:pt>
              </c:strCache>
            </c:strRef>
          </c:tx>
          <c:spPr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dispRSqr val="0"/>
            <c:dispEq val="0"/>
          </c:trendline>
          <c:xVal>
            <c:numRef>
              <c:f>'частка доходів 2'!$B$1:$K$1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xVal>
          <c:yVal>
            <c:numRef>
              <c:f>'частка доходів 2'!$B$2:$K$2</c:f>
              <c:numCache>
                <c:formatCode>General</c:formatCode>
                <c:ptCount val="10"/>
                <c:pt idx="0">
                  <c:v>27.6</c:v>
                </c:pt>
                <c:pt idx="1">
                  <c:v>28.8</c:v>
                </c:pt>
                <c:pt idx="2">
                  <c:v>28.7</c:v>
                </c:pt>
                <c:pt idx="3">
                  <c:v>31.4</c:v>
                </c:pt>
                <c:pt idx="4">
                  <c:v>31.9</c:v>
                </c:pt>
                <c:pt idx="5">
                  <c:v>32.6</c:v>
                </c:pt>
                <c:pt idx="6">
                  <c:v>31.4</c:v>
                </c:pt>
                <c:pt idx="7">
                  <c:v>32.6</c:v>
                </c:pt>
                <c:pt idx="8">
                  <c:v>29.9</c:v>
                </c:pt>
                <c:pt idx="9">
                  <c:v>30.1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3D0-4BDD-A279-FEADB4B3A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96091"/>
        <c:axId val="47796575"/>
      </c:scatterChart>
      <c:valAx>
        <c:axId val="419960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47796575"/>
        <c:crosses val="autoZero"/>
        <c:crossBetween val="between"/>
      </c:valAx>
      <c:valAx>
        <c:axId val="4779657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4199609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en-US"/>
        </a:p>
      </c:txPr>
    </c:legend>
    <c:plotVisOnly val="1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'відношення обсягу'!$A$2</c:f>
              <c:strCache>
                <c:ptCount val="1"/>
                <c:pt idx="0">
                  <c:v>Відношення обсягу державного та гарантованого державою боргу до ВВП, %</c:v>
                </c:pt>
              </c:strCache>
            </c:strRef>
          </c:tx>
          <c:spPr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dispRSqr val="0"/>
            <c:dispEq val="0"/>
          </c:trendline>
          <c:xVal>
            <c:numRef>
              <c:f>'відношення обсягу'!$B$1:$K$1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xVal>
          <c:yVal>
            <c:numRef>
              <c:f>'відношення обсягу'!$B$2:$K$2</c:f>
              <c:numCache>
                <c:formatCode>General</c:formatCode>
                <c:ptCount val="10"/>
                <c:pt idx="0">
                  <c:v>18.7</c:v>
                </c:pt>
                <c:pt idx="1">
                  <c:v>25.2</c:v>
                </c:pt>
                <c:pt idx="2">
                  <c:v>26.1</c:v>
                </c:pt>
                <c:pt idx="3">
                  <c:v>29</c:v>
                </c:pt>
                <c:pt idx="4">
                  <c:v>25.4</c:v>
                </c:pt>
                <c:pt idx="5">
                  <c:v>22.3</c:v>
                </c:pt>
                <c:pt idx="6">
                  <c:v>20.399999999999999</c:v>
                </c:pt>
                <c:pt idx="7">
                  <c:v>24.5</c:v>
                </c:pt>
                <c:pt idx="8">
                  <c:v>26.9</c:v>
                </c:pt>
                <c:pt idx="9">
                  <c:v>28.8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7F-4052-B178-EEA0EFC8C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10322"/>
        <c:axId val="40807788"/>
      </c:scatterChart>
      <c:valAx>
        <c:axId val="3411032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40807788"/>
        <c:crosses val="autoZero"/>
        <c:crossBetween val="between"/>
      </c:valAx>
      <c:valAx>
        <c:axId val="408077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3411032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en-US"/>
        </a:p>
      </c:txPr>
    </c:legend>
    <c:plotVisOnly val="1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273600</xdr:colOff>
      <xdr:row>13</xdr:row>
      <xdr:rowOff>30960</xdr:rowOff>
    </xdr:from>
    <xdr:to>
      <xdr:col>7</xdr:col>
      <xdr:colOff>348120</xdr:colOff>
      <xdr:row>33</xdr:row>
      <xdr:rowOff>19440</xdr:rowOff>
    </xdr:to>
    <xdr:graphicFrame macro="">
      <xdr:nvGraphicFramePr>
        <xdr:cNvPr id="2" name="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87120</xdr:rowOff>
    </xdr:from>
    <xdr:to>
      <xdr:col>7</xdr:col>
      <xdr:colOff>74520</xdr:colOff>
      <xdr:row>32</xdr:row>
      <xdr:rowOff>75600</xdr:rowOff>
    </xdr:to>
    <xdr:graphicFrame macro="">
      <xdr:nvGraphicFramePr>
        <xdr:cNvPr id="2" name="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36000</xdr:colOff>
      <xdr:row>11</xdr:row>
      <xdr:rowOff>156600</xdr:rowOff>
    </xdr:from>
    <xdr:to>
      <xdr:col>6</xdr:col>
      <xdr:colOff>536040</xdr:colOff>
      <xdr:row>31</xdr:row>
      <xdr:rowOff>145080</xdr:rowOff>
    </xdr:to>
    <xdr:graphicFrame macro="">
      <xdr:nvGraphicFramePr>
        <xdr:cNvPr id="2" name="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12960</xdr:colOff>
      <xdr:row>11</xdr:row>
      <xdr:rowOff>50040</xdr:rowOff>
    </xdr:from>
    <xdr:to>
      <xdr:col>7</xdr:col>
      <xdr:colOff>87480</xdr:colOff>
      <xdr:row>31</xdr:row>
      <xdr:rowOff>38520</xdr:rowOff>
    </xdr:to>
    <xdr:graphicFrame macro="">
      <xdr:nvGraphicFramePr>
        <xdr:cNvPr id="3" name="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105840</xdr:rowOff>
    </xdr:from>
    <xdr:to>
      <xdr:col>6</xdr:col>
      <xdr:colOff>56880</xdr:colOff>
      <xdr:row>33</xdr:row>
      <xdr:rowOff>94320</xdr:rowOff>
    </xdr:to>
    <xdr:graphicFrame macro="">
      <xdr:nvGraphicFramePr>
        <xdr:cNvPr id="4" name="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opLeftCell="B13" zoomScaleNormal="100" workbookViewId="0">
      <selection activeCell="H18" sqref="H18"/>
    </sheetView>
  </sheetViews>
  <sheetFormatPr defaultColWidth="11.5703125" defaultRowHeight="12.75"/>
  <sheetData>
    <row r="1" spans="1:14">
      <c r="A1" s="1" t="s">
        <v>0</v>
      </c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 t="s">
        <v>1</v>
      </c>
      <c r="M1" s="1" t="s">
        <v>2</v>
      </c>
      <c r="N1" s="1" t="s">
        <v>3</v>
      </c>
    </row>
    <row r="2" spans="1:14" ht="46.9">
      <c r="A2" s="2" t="s">
        <v>4</v>
      </c>
      <c r="B2" s="1">
        <v>1.23</v>
      </c>
      <c r="C2" s="1">
        <v>1.24</v>
      </c>
      <c r="D2" s="1">
        <v>1.28</v>
      </c>
      <c r="E2" s="1">
        <v>1.38</v>
      </c>
      <c r="F2" s="1">
        <v>1.6</v>
      </c>
      <c r="G2" s="1">
        <v>1.23</v>
      </c>
      <c r="H2" s="1">
        <v>1.38</v>
      </c>
      <c r="I2" s="1">
        <v>1.44</v>
      </c>
      <c r="J2" s="1">
        <v>1.76</v>
      </c>
      <c r="K2" s="1">
        <v>1.44</v>
      </c>
      <c r="L2" s="1">
        <f>MIN(B2:K2)</f>
        <v>1.23</v>
      </c>
      <c r="M2" s="1">
        <f>MAX(B2:K2)</f>
        <v>1.76</v>
      </c>
      <c r="N2" s="1">
        <f>AVERAGE(B2:K2)</f>
        <v>1.3979999999999999</v>
      </c>
    </row>
    <row r="3" spans="1:14" ht="16.899999999999999" customHeight="1">
      <c r="A3" s="2"/>
    </row>
    <row r="4" spans="1:14"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</row>
    <row r="5" spans="1:14">
      <c r="B5" s="3" t="s">
        <v>15</v>
      </c>
      <c r="C5" s="3" t="s">
        <v>16</v>
      </c>
      <c r="D5" s="3" t="s">
        <v>17</v>
      </c>
      <c r="E5" s="3" t="s">
        <v>18</v>
      </c>
      <c r="F5" s="3">
        <v>1</v>
      </c>
      <c r="G5" s="3"/>
      <c r="H5" s="3"/>
      <c r="I5" s="3"/>
      <c r="J5" s="3"/>
      <c r="K5" s="3"/>
      <c r="L5" s="4"/>
      <c r="M5" s="4"/>
    </row>
    <row r="6" spans="1:14">
      <c r="F6">
        <v>1.3979999999999999</v>
      </c>
    </row>
    <row r="8" spans="1:14">
      <c r="A8" s="5" t="s">
        <v>19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zoomScaleNormal="100" workbookViewId="0">
      <selection activeCell="I16" sqref="I16"/>
    </sheetView>
  </sheetViews>
  <sheetFormatPr defaultColWidth="11.5703125" defaultRowHeight="12.75"/>
  <sheetData>
    <row r="1" spans="1:14">
      <c r="A1" s="1" t="s">
        <v>0</v>
      </c>
      <c r="B1" s="1">
        <v>2014</v>
      </c>
      <c r="C1" s="1">
        <v>2015</v>
      </c>
      <c r="D1" s="1">
        <v>2016</v>
      </c>
      <c r="E1" s="1">
        <v>2017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 t="s">
        <v>1</v>
      </c>
      <c r="M1" s="1" t="s">
        <v>2</v>
      </c>
      <c r="N1" s="1" t="s">
        <v>3</v>
      </c>
    </row>
    <row r="2" spans="1:14" ht="58.35">
      <c r="A2" s="2" t="s">
        <v>20</v>
      </c>
      <c r="B2" s="1">
        <v>7.2229999999999999</v>
      </c>
      <c r="C2" s="1">
        <v>7.1769999999999996</v>
      </c>
      <c r="D2" s="1">
        <v>7.1280000000000001</v>
      </c>
      <c r="E2" s="1">
        <v>7.0759999999999996</v>
      </c>
      <c r="F2" s="1">
        <v>7.024</v>
      </c>
      <c r="G2" s="1">
        <v>6.976</v>
      </c>
      <c r="H2" s="1">
        <v>6.9219999999999997</v>
      </c>
      <c r="I2" s="1">
        <v>6.875</v>
      </c>
      <c r="J2" s="1">
        <v>6.8120000000000003</v>
      </c>
      <c r="K2" s="1">
        <v>6.4459999999999997</v>
      </c>
      <c r="L2" s="1">
        <f>MIN(B2:K2)</f>
        <v>6.4459999999999997</v>
      </c>
      <c r="M2" s="1">
        <f>MAX(B2:K2)</f>
        <v>7.2229999999999999</v>
      </c>
      <c r="N2" s="1">
        <f>AVERAGE(B2:K2)</f>
        <v>6.9658999999999995</v>
      </c>
    </row>
    <row r="3" spans="1:14">
      <c r="A3" s="2"/>
    </row>
    <row r="4" spans="1:14" ht="24">
      <c r="B4" s="6" t="s">
        <v>21</v>
      </c>
      <c r="C4" s="6" t="s">
        <v>22</v>
      </c>
      <c r="D4" s="6" t="s">
        <v>23</v>
      </c>
      <c r="E4" s="6" t="s">
        <v>24</v>
      </c>
      <c r="F4" s="7" t="s">
        <v>25</v>
      </c>
    </row>
    <row r="5" spans="1:14">
      <c r="B5" s="4"/>
      <c r="C5" s="4"/>
      <c r="D5" s="4">
        <v>6.96</v>
      </c>
      <c r="F5" s="4"/>
      <c r="L5" s="4"/>
      <c r="M5" s="4"/>
    </row>
    <row r="7" spans="1:14">
      <c r="A7" s="5" t="s">
        <v>26</v>
      </c>
    </row>
    <row r="9" spans="1:14">
      <c r="A9" t="s">
        <v>27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"/>
  <sheetViews>
    <sheetView zoomScaleNormal="100" workbookViewId="0">
      <selection activeCell="J19" sqref="J19"/>
    </sheetView>
  </sheetViews>
  <sheetFormatPr defaultColWidth="11.5703125" defaultRowHeight="12.75"/>
  <cols>
    <col min="1" max="1" width="17" customWidth="1"/>
  </cols>
  <sheetData>
    <row r="1" spans="1:14">
      <c r="A1" s="1" t="s">
        <v>0</v>
      </c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 t="s">
        <v>1</v>
      </c>
      <c r="M1" s="1" t="s">
        <v>2</v>
      </c>
      <c r="N1" s="1" t="s">
        <v>3</v>
      </c>
    </row>
    <row r="2" spans="1:14" ht="81.400000000000006">
      <c r="A2" s="2" t="s">
        <v>28</v>
      </c>
      <c r="B2" s="1">
        <v>1.8</v>
      </c>
      <c r="C2" s="1">
        <v>2</v>
      </c>
      <c r="D2" s="1">
        <v>1.5</v>
      </c>
      <c r="E2" s="1">
        <v>1.6</v>
      </c>
      <c r="F2" s="1">
        <v>1.9</v>
      </c>
      <c r="G2" s="1">
        <v>1.9</v>
      </c>
      <c r="H2" s="1">
        <v>1.9</v>
      </c>
      <c r="I2" s="1">
        <v>2.2000000000000002</v>
      </c>
      <c r="J2" s="1">
        <v>2</v>
      </c>
      <c r="K2" s="1">
        <v>2.1</v>
      </c>
      <c r="L2" s="1">
        <f>MIN(B2:K2)</f>
        <v>1.5</v>
      </c>
      <c r="M2" s="1">
        <f>MAX(B2:K2)</f>
        <v>2.2000000000000002</v>
      </c>
      <c r="N2" s="1">
        <f>AVERAGE(B2:K2)</f>
        <v>1.8900000000000001</v>
      </c>
    </row>
    <row r="3" spans="1:14">
      <c r="A3" s="2"/>
    </row>
    <row r="4" spans="1:14" ht="24">
      <c r="B4" s="6" t="s">
        <v>29</v>
      </c>
      <c r="C4" s="6" t="s">
        <v>30</v>
      </c>
      <c r="D4" s="6" t="s">
        <v>31</v>
      </c>
      <c r="E4" s="6" t="s">
        <v>32</v>
      </c>
      <c r="F4" s="6" t="s">
        <v>33</v>
      </c>
    </row>
    <row r="5" spans="1:14">
      <c r="B5" s="4"/>
      <c r="C5" s="4"/>
      <c r="D5" s="4"/>
      <c r="E5" s="4">
        <v>1.89</v>
      </c>
      <c r="F5" s="4"/>
      <c r="L5" s="4"/>
      <c r="M5" s="4"/>
    </row>
    <row r="6" spans="1:14" ht="30.2" customHeight="1">
      <c r="A6" s="5" t="s">
        <v>34</v>
      </c>
      <c r="C6" s="8"/>
    </row>
    <row r="8" spans="1:14">
      <c r="A8" s="5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zoomScaleNormal="100" workbookViewId="0">
      <selection activeCell="M25" sqref="M25"/>
    </sheetView>
  </sheetViews>
  <sheetFormatPr defaultColWidth="11.5703125" defaultRowHeight="12.75"/>
  <sheetData>
    <row r="1" spans="1:14">
      <c r="A1" s="1" t="s">
        <v>0</v>
      </c>
      <c r="B1" s="1">
        <v>2014</v>
      </c>
      <c r="C1" s="1">
        <v>2015</v>
      </c>
      <c r="D1" s="1">
        <v>2016</v>
      </c>
      <c r="E1" s="1">
        <v>2017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 t="s">
        <v>1</v>
      </c>
      <c r="M1" s="1" t="s">
        <v>2</v>
      </c>
      <c r="N1" s="1" t="s">
        <v>3</v>
      </c>
    </row>
    <row r="2" spans="1:14" ht="104.25">
      <c r="A2" s="9" t="s">
        <v>35</v>
      </c>
      <c r="B2" s="1">
        <v>27.6</v>
      </c>
      <c r="C2" s="1">
        <v>28.8</v>
      </c>
      <c r="D2" s="1">
        <v>28.7</v>
      </c>
      <c r="E2" s="1">
        <v>31.4</v>
      </c>
      <c r="F2" s="1">
        <v>31.9</v>
      </c>
      <c r="G2" s="1">
        <v>32.6</v>
      </c>
      <c r="H2" s="1">
        <v>31.4</v>
      </c>
      <c r="I2" s="1">
        <v>32.6</v>
      </c>
      <c r="J2" s="1">
        <v>29.9</v>
      </c>
      <c r="K2" s="1">
        <v>30.1</v>
      </c>
      <c r="L2" s="1">
        <v>31.1</v>
      </c>
      <c r="M2" s="1">
        <f>MAX(B2:K2)</f>
        <v>32.6</v>
      </c>
      <c r="N2" s="1">
        <f>AVERAGE(B2:K2)</f>
        <v>30.5</v>
      </c>
    </row>
    <row r="4" spans="1:14" ht="35.450000000000003">
      <c r="B4" s="8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</row>
    <row r="5" spans="1:14">
      <c r="F5" t="s">
        <v>42</v>
      </c>
    </row>
    <row r="7" spans="1:14">
      <c r="A7" s="5" t="s">
        <v>43</v>
      </c>
    </row>
    <row r="9" spans="1:14">
      <c r="A9" t="s">
        <v>44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"/>
  <sheetViews>
    <sheetView tabSelected="1" zoomScaleNormal="100" workbookViewId="0">
      <selection activeCell="K24" sqref="K24"/>
    </sheetView>
  </sheetViews>
  <sheetFormatPr defaultColWidth="11.5703125" defaultRowHeight="12.75"/>
  <cols>
    <col min="1" max="1" width="23.28515625" customWidth="1"/>
  </cols>
  <sheetData>
    <row r="1" spans="1:14">
      <c r="A1" s="1" t="s">
        <v>0</v>
      </c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 t="s">
        <v>1</v>
      </c>
      <c r="M1" s="1" t="s">
        <v>2</v>
      </c>
      <c r="N1" s="1" t="s">
        <v>3</v>
      </c>
    </row>
    <row r="2" spans="1:14" ht="46.9">
      <c r="A2" s="2" t="s">
        <v>45</v>
      </c>
      <c r="B2" s="1">
        <v>18.7</v>
      </c>
      <c r="C2" s="1">
        <v>25.2</v>
      </c>
      <c r="D2" s="1">
        <v>26.1</v>
      </c>
      <c r="E2" s="1">
        <v>29</v>
      </c>
      <c r="F2" s="1">
        <v>25.4</v>
      </c>
      <c r="G2" s="1">
        <v>22.3</v>
      </c>
      <c r="H2" s="1">
        <v>20.399999999999999</v>
      </c>
      <c r="I2" s="1">
        <v>24.5</v>
      </c>
      <c r="J2" s="1">
        <v>26.9</v>
      </c>
      <c r="K2" s="1">
        <v>28.8</v>
      </c>
      <c r="L2" s="1">
        <f>MIN(B2:K2)</f>
        <v>18.7</v>
      </c>
      <c r="M2" s="1">
        <f>MAX(B2:K2)</f>
        <v>29</v>
      </c>
      <c r="N2" s="1">
        <f>AVERAGE(B2:K2)</f>
        <v>24.730000000000004</v>
      </c>
    </row>
    <row r="5" spans="1:14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</row>
    <row r="6" spans="1:14">
      <c r="B6" s="1"/>
      <c r="C6" s="1"/>
      <c r="D6" s="1"/>
      <c r="E6" s="1"/>
      <c r="F6" s="1"/>
      <c r="G6" s="3">
        <v>20</v>
      </c>
      <c r="H6" s="3">
        <v>30</v>
      </c>
      <c r="I6" s="3">
        <v>40</v>
      </c>
      <c r="J6" s="3">
        <v>50</v>
      </c>
      <c r="K6" s="3">
        <v>60</v>
      </c>
    </row>
    <row r="7" spans="1:14">
      <c r="G7">
        <v>24.73</v>
      </c>
    </row>
    <row r="8" spans="1:14">
      <c r="A8" s="5" t="s">
        <v>46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de1ffb0-3e50-4596-80ff-7d86b39fcc40" xsi:nil="true"/>
    <ReferenceId xmlns="e9f7dd64-f70f-4c26-915c-b3d6cb9a74e7" xsi:nil="true"/>
    <lcf76f155ced4ddcb4097134ff3c332f xmlns="e9f7dd64-f70f-4c26-915c-b3d6cb9a74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4985732F8A2C4A49865BE44D6DF5F1AF" ma:contentTypeVersion="11" ma:contentTypeDescription="Створення нового документа." ma:contentTypeScope="" ma:versionID="8ebf4c6e0fc81eb8feb2559f6a47d662">
  <xsd:schema xmlns:xsd="http://www.w3.org/2001/XMLSchema" xmlns:xs="http://www.w3.org/2001/XMLSchema" xmlns:p="http://schemas.microsoft.com/office/2006/metadata/properties" xmlns:ns2="e9f7dd64-f70f-4c26-915c-b3d6cb9a74e7" xmlns:ns3="4de1ffb0-3e50-4596-80ff-7d86b39fcc40" targetNamespace="http://schemas.microsoft.com/office/2006/metadata/properties" ma:root="true" ma:fieldsID="0b23d91d0ee7f0e6ac5225094781b7a9" ns2:_="" ns3:_="">
    <xsd:import namespace="e9f7dd64-f70f-4c26-915c-b3d6cb9a74e7"/>
    <xsd:import namespace="4de1ffb0-3e50-4596-80ff-7d86b39fcc40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f7dd64-f70f-4c26-915c-b3d6cb9a74e7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Теги зображень" ma:readOnly="false" ma:fieldId="{5cf76f15-5ced-4ddc-b409-7134ff3c332f}" ma:taxonomyMulti="true" ma:sspId="e5ed4982-6aa5-4c40-bfe4-44b657fb2f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e1ffb0-3e50-4596-80ff-7d86b39fcc4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c007e06-f696-43b7-80c2-40e63e750cc0}" ma:internalName="TaxCatchAll" ma:showField="CatchAllData" ma:web="4de1ffb0-3e50-4596-80ff-7d86b39fcc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CD057E-C0F8-41B8-93D5-1F8412B10481}"/>
</file>

<file path=customXml/itemProps2.xml><?xml version="1.0" encoding="utf-8"?>
<ds:datastoreItem xmlns:ds="http://schemas.openxmlformats.org/officeDocument/2006/customXml" ds:itemID="{C11A287F-654E-4F3F-B56F-DDC159090FE9}"/>
</file>

<file path=customXml/itemProps3.xml><?xml version="1.0" encoding="utf-8"?>
<ds:datastoreItem xmlns:ds="http://schemas.openxmlformats.org/officeDocument/2006/customXml" ds:itemID="{A8AE4BD4-9250-4BED-AD51-9B52B1616D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Шершень Денис Сергійович</cp:lastModifiedBy>
  <cp:revision>6</cp:revision>
  <dcterms:created xsi:type="dcterms:W3CDTF">2025-10-10T19:51:35Z</dcterms:created>
  <dcterms:modified xsi:type="dcterms:W3CDTF">2025-10-31T13:59:41Z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0x0101004985732F8A2C4A49865BE44D6DF5F1AF</vt:lpwstr>
  </property>
  <property fmtid="{D5CDD505-2E9C-101B-9397-08002B2CF9AE}" pid="3" name="MediaServiceImageTags">
    <vt:lpwstr/>
  </property>
</Properties>
</file>